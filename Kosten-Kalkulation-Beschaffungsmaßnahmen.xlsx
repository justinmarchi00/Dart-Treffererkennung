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stin/Library/Mobile Documents/com~apple~CloudDocs/FH Bocholt/2. Semester/StudentsLab/"/>
    </mc:Choice>
  </mc:AlternateContent>
  <xr:revisionPtr revIDLastSave="0" documentId="13_ncr:1_{F33EF119-1BDE-5742-8156-441355E5D0CF}" xr6:coauthVersionLast="47" xr6:coauthVersionMax="47" xr10:uidLastSave="{00000000-0000-0000-0000-000000000000}"/>
  <bookViews>
    <workbookView xWindow="0" yWindow="680" windowWidth="34200" windowHeight="21460" xr2:uid="{C30512D1-8515-7543-8C7F-244BC199409B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5" i="1" l="1"/>
  <c r="K20" i="1"/>
  <c r="K11" i="1"/>
  <c r="K12" i="1"/>
  <c r="K13" i="1"/>
  <c r="K15" i="1"/>
  <c r="K16" i="1"/>
  <c r="K17" i="1"/>
  <c r="K18" i="1"/>
  <c r="K19" i="1"/>
  <c r="K21" i="1"/>
  <c r="K22" i="1"/>
  <c r="K23" i="1"/>
  <c r="K24" i="1"/>
  <c r="K14" i="1"/>
  <c r="K26" i="1" l="1"/>
</calcChain>
</file>

<file path=xl/sharedStrings.xml><?xml version="1.0" encoding="utf-8"?>
<sst xmlns="http://schemas.openxmlformats.org/spreadsheetml/2006/main" count="54" uniqueCount="44">
  <si>
    <t>Kosten Kalkulation</t>
  </si>
  <si>
    <t>Pos.</t>
  </si>
  <si>
    <t>Bezeichnung</t>
  </si>
  <si>
    <t>Link</t>
  </si>
  <si>
    <t>Preis</t>
  </si>
  <si>
    <t>Dartscheibe</t>
  </si>
  <si>
    <t>Konstruktion Kameras</t>
  </si>
  <si>
    <t>Aufprallsensor</t>
  </si>
  <si>
    <t>Arduino</t>
  </si>
  <si>
    <t>Anzahl</t>
  </si>
  <si>
    <t>Beschreibung</t>
  </si>
  <si>
    <t>Kamera</t>
  </si>
  <si>
    <t>USB 3.0 Hub</t>
  </si>
  <si>
    <t>Verlängerungskabel USB</t>
  </si>
  <si>
    <t>M3 Gewindeeinsätze</t>
  </si>
  <si>
    <t>M3 Schrauben</t>
  </si>
  <si>
    <t>M4 Schrauben</t>
  </si>
  <si>
    <t>M2 Schrauben</t>
  </si>
  <si>
    <t>Widerstände Arduino</t>
  </si>
  <si>
    <t xml:space="preserve">Kabelmaterial </t>
  </si>
  <si>
    <t>besitzen wir schon</t>
  </si>
  <si>
    <t>https://www.amazon.de/Nastopee-Kameramodul-Kompatibel-Bildklarheit-Spieleprojekt/dp/B0F9FBM1BG/ref=asc_df_B0F9FBM1BG?mcid=b25824a61b683ccabee5dc7fd6f244d0&amp;th=1&amp;tag=googshopde-21&amp;linkCode=df0&amp;hvadid=696220738227&amp;hvpos=&amp;hvnetw=g&amp;hvrand=9019277865092971946&amp;hvpone=&amp;hvptwo=&amp;hvqmt=&amp;hvdev=c&amp;hvdvcmdl=&amp;hvlocint=&amp;hvlocphy=9217322&amp;hvtargid=pla-2507611684717&amp;hvocijid=9019277865092971946-B0F9FBM1BG-&amp;hvexpln=0</t>
  </si>
  <si>
    <t>OV9732 Kameramodul 3er Set</t>
  </si>
  <si>
    <t>https://www.printables.com/model/875543-darts-camera-and-led-ring-mount-by-3dengelen#hardware-required-</t>
  </si>
  <si>
    <t>Darts Camera and LED Ring mount</t>
  </si>
  <si>
    <t>M4x16 mm Flachkopfschrauben</t>
  </si>
  <si>
    <t>https://www.reichelt.de/de/de/shop/produkt/arduino_-_piezo_vibrationssensor-316345?PROVID=2788&amp;gad_source=1&amp;gad_campaignid=18342381572&amp;gbraid=0AAAAADwnxtZFGda61GU4dcQg96YXpbGqL&amp;gclid=CjwKCAjwn4vQBhBsEiwAq3hhNzgDid859aVDIeDN62XvW6XqF_B9mSyO38yVW4SOIP1CiPyZWOsF8xoCzzcQAvD_BwE</t>
  </si>
  <si>
    <t>Arduino - Piezo Vibrationssensor</t>
  </si>
  <si>
    <t>https://www.reichelt.de/de/de/shop/produkt/usb_5_gb_s_verlaengerungskabel_usb-c_usb-c_5_00m-390535</t>
  </si>
  <si>
    <t>Gesamt</t>
  </si>
  <si>
    <t xml:space="preserve">Gesamt = </t>
  </si>
  <si>
    <t>M4x12 mm Flachkopfschrauben</t>
  </si>
  <si>
    <t>M2x6 Schrauben,Zylinderkopfschrauben</t>
  </si>
  <si>
    <t>M3, M4 Gewindeeinsätze</t>
  </si>
  <si>
    <t>M3*8mm Flachkopfschrauben</t>
  </si>
  <si>
    <t>https://www.amazon.de/ANYPLUS-USB-Datenübertragung-Splitter-Thinkpad-4-1-C-HUB/dp/B0CSSM4C65/ref=sr_1_1_sspa?__mk_de_DE=ÅMÅŽÕÑ&amp;crid=206D2RUJ2U1CX&amp;dib=eyJ2IjoiMSJ9.c0uYDB7Ak1oJrW-YsP8cGtirrZMlWGd-GUmfQtoUIYD7a_H7sePzLyLvZBb86GjeG8Vr46xmDk5f1ZtFPULEaL8JDIYj</t>
  </si>
  <si>
    <t>https://www.amazon.de/Gewindeeinsätze-Lötspitzen-Temperatur-Einstellbar-Gewindeeinsatz/dp/B0FF533W7H/ref=sr_1_1_sspa?__mk_de_DE=ÅMÅŽÕÑ&amp;crid=34YC6KO7SLJNQ&amp;dib=eyJ2IjoiMSJ9.HGzSlhnqP70iSOWv-v_sdSiNB8VaO42wDo4qHOQWOAdHIhkJRyS4AuXp6f4Lx9kOIcwKuykOMpgffpiVp65-</t>
  </si>
  <si>
    <t>Filament Schwatz PETG</t>
  </si>
  <si>
    <t>Filament</t>
  </si>
  <si>
    <t>Herr Dirks bestellt Filament</t>
  </si>
  <si>
    <t>https://www.amazon.de/XRXYMQ-Linsenkopfschrauben-Flachkopfschrauben-Rundkopfschrauben-Maschinenschrauben/dp/B0DS6BJKNB/ref=sr_1_9?dib=eyJ2IjoiMSJ9.iZIPRdEN_pw1PyuieJIfgCQkKNNXClQafMEOdhvq7WC5J1jqSV-JcFUDhx3VnRpugaT9q57GqXGnLC0qOlDoGtXGIOGB_ntu31wlCOJMQjBw</t>
  </si>
  <si>
    <t>https://www.amazon.de/XRXYMQ-Linsenkopfschrauben-Flachkopfschrauben-Rundkopfschrauben-Maschinenschrauben/dp/B0DS6F31TM/ref=sr_1_9?dib=eyJ2IjoiMSJ9.iZIPRdEN_pw1PyuieJIfgCQkKNNXClQafMEOdhvq7WC5J1jqSV-JcFUDhx3VnRpugaT9q57GqXGnLC0qOlDoGtXGIOGB_ntu31wlCOJMQjBw</t>
  </si>
  <si>
    <t>https://www.amazon.de/XRXYMQ-Linsenkopfschrauben-Flachkopfschrauben-Rundkopfschrauben-Maschinenschrauben/dp/B0DS6D1TN2/ref=sr_1_9?dib=eyJ2IjoiMSJ9.iZIPRdEN_pw1PyuieJIfgCQkKNNXClQafMEOdhvq7WC5J1jqSV-JcFUDhx3VnRpugaT9q57GqXGnLC0qOlDoGtXGIOGB_ntu31wlCOJMQjBw</t>
  </si>
  <si>
    <t>https://www.amazon.de/Zylinderkopfschrauben-Zylinderschrauben-Innensechskantschlüssel-Kohlenstoffstahl-Befestigungselemente/dp/B0F2HCC3C8/ref=sr_1_1_sspa?__mk_de_DE=ÅMÅŽÕÑ&amp;crid=1CIU97ATOXU95&amp;dib=eyJ2IjoiMSJ9.a47vDq1FvMqPRUQ4xxEG7HA1J17pvy_CFVkRA8eKHxd0c73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</si>
</sst>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6"/>
      <color theme="1"/>
      <name val="Aptos Narrow (Textkörper)"/>
    </font>
    <font>
      <u/>
      <sz val="12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Border="1" applyAlignment="1">
      <alignment horizontal="center"/>
    </xf>
    <xf numFmtId="0" fontId="3" fillId="0" borderId="1" xfId="2" applyBorder="1" applyAlignment="1">
      <alignment horizontal="center"/>
    </xf>
    <xf numFmtId="0" fontId="4" fillId="0" borderId="1" xfId="0" applyFont="1" applyBorder="1" applyAlignment="1">
      <alignment horizontal="center"/>
    </xf>
    <xf numFmtId="44" fontId="0" fillId="0" borderId="1" xfId="1" applyFont="1" applyBorder="1"/>
    <xf numFmtId="44" fontId="0" fillId="0" borderId="0" xfId="0" applyNumberFormat="1"/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de/XRXYMQ-Linsenkopfschrauben-Flachkopfschrauben-Rundkopfschrauben-Maschinenschrauben/dp/B0DS6D1TN2/ref=sr_1_9?dib=eyJ2IjoiMSJ9.iZIPRdEN_pw1PyuieJIfgCQkKNNXClQafMEOdhvq7WC5J1jqSV-JcFUDhx3VnRpugaT9q57GqXGnLC0qOlDoGtXGIOGB_ntu31wlCOJMQjBwFlc3S8PvPZkk5K8XqWZL_w5ehnGTcjrBKNnOdJE2YUkn6gkv7yikMRwvyT9M2ZsKOte7OaBUDH9RFMNIq9d9NxWy5zVPCysXK8XNrpCHyO4GfZN2k9cyF-o21-Vlhx0pY2ksw1V7xs6TW9BA8jvOb8B6r-gAIJLVkdAbMutlUd57BVBxoZPhQa1gRMDS7V0.LaRDVU54jFLVZ8xYpSZuz-NQfbWmb50xSIXue2AfCdE&amp;dib_tag=se&amp;keywords=6%2Bx%2BM4x16%2BCAP%2BHead%2BScrews%2B(DIN912)&amp;qid=1778587673&amp;sr=8-9&amp;th=1" TargetMode="External"/><Relationship Id="rId3" Type="http://schemas.openxmlformats.org/officeDocument/2006/relationships/hyperlink" Target="https://www.reichelt.de/de/de/shop/produkt/arduino_-_piezo_vibrationssensor-316345?PROVID=2788&amp;gad_source=1&amp;gad_campaignid=18342381572&amp;gbraid=0AAAAADwnxtZFGda61GU4dcQg96YXpbGqL&amp;gclid=CjwKCAjwn4vQBhBsEiwAq3hhNzgDid859aVDIeDN62XvW6XqF_B9mSyO38yVW4SOIP1CiPyZWOsF8xoCzzcQAvD_BwE" TargetMode="External"/><Relationship Id="rId7" Type="http://schemas.openxmlformats.org/officeDocument/2006/relationships/hyperlink" Target="https://www.amazon.de/XRXYMQ-Linsenkopfschrauben-Flachkopfschrauben-Rundkopfschrauben-Maschinenschrauben/dp/B0DS6F31TM/ref=sr_1_9?dib=eyJ2IjoiMSJ9.iZIPRdEN_pw1PyuieJIfgCQkKNNXClQafMEOdhvq7WC5J1jqSV-JcFUDhx3VnRpugaT9q57GqXGnLC0qOlDoGtXGIOGB_ntu31wlCOJMQjBwFlc3S8PvPZkk5K8XqWZL_w5ehnGTcjrBKNnOdJE2YUkn6gkv7yikMRwvyT9M2ZsKOte7OaBUDH9RFMNIq9d9NxWy5zVPCysXK8XNrpCHyO4GfZN2k9cyF-o21-Vlhx0pY2ksw1V7xs6TW9BA8jvOb8B6r-gAIJLVkdAbMutlUd57BVBxoZPhQa1gRMDS7V0.LaRDVU54jFLVZ8xYpSZuz-NQfbWmb50xSIXue2AfCdE&amp;dib_tag=se&amp;keywords=6%2Bx%2BM4x16%2BCAP%2BHead%2BScrews%2B(DIN912)&amp;qid=1778587673&amp;sr=8-9&amp;th=1" TargetMode="External"/><Relationship Id="rId2" Type="http://schemas.openxmlformats.org/officeDocument/2006/relationships/hyperlink" Target="https://www.printables.com/model/875543-darts-camera-and-led-ring-mount-by-3dengelen" TargetMode="External"/><Relationship Id="rId1" Type="http://schemas.openxmlformats.org/officeDocument/2006/relationships/hyperlink" Target="https://www.amazon.de/Nastopee-Kameramodul-Kompatibel-Bildklarheit-Spieleprojekt/dp/B0F9FBM1BG/ref=asc_df_B0F9FBM1BG?mcid=b25824a61b683ccabee5dc7fd6f244d0&amp;th=1&amp;tag=googshopde-21&amp;linkCode=df0&amp;hvadid=696220738227&amp;hvpos=&amp;hvnetw=g&amp;hvrand=9019277865092971946&amp;hvpone=&amp;hvptwo=&amp;hvqmt=&amp;hvdev=c&amp;hvdvcmdl=&amp;hvlocint=&amp;hvlocphy=9217322&amp;hvtargid=pla-2507611684717&amp;hvocijid=9019277865092971946-B0F9FBM1BG-&amp;hvexpln=0" TargetMode="External"/><Relationship Id="rId6" Type="http://schemas.openxmlformats.org/officeDocument/2006/relationships/hyperlink" Target="https://www.amazon.de/XRXYMQ-Linsenkopfschrauben-Flachkopfschrauben-Rundkopfschrauben-Maschinenschrauben/dp/B0DS6BJKNB/ref=sr_1_9?dib=eyJ2IjoiMSJ9.iZIPRdEN_pw1PyuieJIfgCQkKNNXClQafMEOdhvq7WC5J1jqSV-JcFUDhx3VnRpugaT9q57GqXGnLC0qOlDoGtXGIOGB_ntu31wlCOJMQjBwFlc3S8PvPZkk5K8XqWZL_w5ehnGTcjrBKNnOdJE2YUkn6gkv7yikMRwvyT9M2ZsKOte7OaBUDH9RFMNIq9d9NxWy5zVPCysXK8XNrpCHyO4GfZN2k9cyF-o21-Vlhx0pY2ksw1V7xs6TW9BA8jvOb8B6r-gAIJLVkdAbMutlUd57BVBxoZPhQa1gRMDS7V0.LaRDVU54jFLVZ8xYpSZuz-NQfbWmb50xSIXue2AfCdE&amp;dib_tag=se&amp;keywords=6%2Bx%2BM4x16%2BCAP%2BHead%2BScrews%2B(DIN912)&amp;qid=1778587673&amp;sr=8-9&amp;th=1" TargetMode="External"/><Relationship Id="rId5" Type="http://schemas.openxmlformats.org/officeDocument/2006/relationships/hyperlink" Target="https://www.amazon.de/Gewindeeins&#228;tze-L&#246;tspitzen-Temperatur-Einstellbar-Gewindeeinsatz/dp/B0FF533W7H/ref=sr_1_1_sspa?__mk_de_DE=&#197;M&#197;&#381;&#213;&#209;&amp;crid=34YC6KO7SLJNQ&amp;dib=eyJ2IjoiMSJ9.HGzSlhnqP70iSOWv-v_sdSiNB8VaO42wDo4qHOQWOAdHIhkJRyS4AuXp6f4Lx9kOIcwKuykOMpgffpiVp65-dEdDtERpvlT0c-YFolHoCIjfpbibSyTEPHHxB-Ixw31CRyCdX2yFXbjvFOkB6CYTfpQPwexmFhfZDi-3-Gqw73pmTFViOrWMlzI_jzebeM3Ns4Ka5QVXo4NRijk-rxmfueBwFuetrkcQKtJdEiojs3BktezwMdG-4tYX1wWiGTvx78u8p9rFvDxM5nVJxIn1V4FS4GusMyLRqoP4HzDfVC4.HJsR_BF6tGIZNbowbTbJr4LNHs23CTno10X2mn5E6wg&amp;dib_tag=se&amp;keywords=M4+Heat+inserts&amp;qid=1778589263&amp;sprefix=m4+heat+inserts%2Caps%2C246&amp;sr=8-1-spons&amp;aref=KdyQJM8lNG&amp;sp_csd=d2lkZ2V0TmFtZT1zcF9hdGY&amp;psc=1" TargetMode="External"/><Relationship Id="rId10" Type="http://schemas.openxmlformats.org/officeDocument/2006/relationships/hyperlink" Target="https://www.amazon.de/XRXYMQ-Linsenkopfschrauben-Flachkopfschrauben-Rundkopfschrauben-Maschinenschrauben/dp/B0DS6BJKNB/ref=sr_1_9?dib=eyJ2IjoiMSJ9.iZIPRdEN_pw1PyuieJIfgCQkKNNXClQafMEOdhvq7WC5J1jqSV-JcFUDhx3VnRpugaT9q57GqXGnLC0qOlDoGtXGIOGB_ntu31wlCOJMQjBw" TargetMode="External"/><Relationship Id="rId4" Type="http://schemas.openxmlformats.org/officeDocument/2006/relationships/hyperlink" Target="https://www.amazon.de/ANYPLUS-USB-Daten&#252;bertragung-Splitter-Thinkpad-4-1-C-HUB/dp/B0CSSM4C65/ref=sr_1_1_sspa?__mk_de_DE=&#197;M&#197;&#381;&#213;&#209;&amp;crid=206D2RUJ2U1CX&amp;dib=eyJ2IjoiMSJ9.c0uYDB7Ak1oJrW-YsP8cGtirrZMlWGd-GUmfQtoUIYD7a_H7sePzLyLvZBb86GjeG8Vr46xmDk5f1ZtFPULEaL8JDIYjJ97QQK6je4niSkJtJOr8G1v6F5Lzp5Jb_baRTmfroobOBgfCn58SGaLJPj88S_rR891Q0UerdbeTMR9VJCmrrc0lyUqxIsnMEbsTY6bIyRYqpjVSj-65m_YcdO9-cSuZ851nE_T612Yv_MO-4xUUhOLLZWhT4k7_X6m1mNBrYiOyN5mp_6yz66HoQPsobz5PbTpZOYB4enDiAQg.DP6ZZ2xKMyJBQh1f5LZH2PlHcQMuJ-r_G_GGubZuFZg&amp;dib_tag=se&amp;keywords=usb+usb+port&amp;qid=1778587864&amp;s=computers&amp;sprefix=usb+usb+por%2Ccomputers%2C119&amp;sr=1-1-spons&amp;aref=dlAz708yoy&amp;sp_csd=d2lkZ2V0TmFtZT1zcF9hdGY&amp;psc=1" TargetMode="External"/><Relationship Id="rId9" Type="http://schemas.openxmlformats.org/officeDocument/2006/relationships/hyperlink" Target="https://www.amazon.de/Zylinderkopfschrauben-Zylinderschrauben-Innensechskantschl&#252;ssel-Kohlenstoffstahl-Befestigungselemente/dp/B0F2HCC3C8/ref=sr_1_1_sspa?__mk_de_DE=&#197;M&#197;&#381;&#213;&#209;&amp;crid=1CIU97ATOXU95&amp;dib=eyJ2IjoiMSJ9.a47vDq1FvMqPRUQ4xxEG7HA1J17pvy_CFVkRA8eKHxd0c73szTPEQ1ShPFVsbo_liotnqLnzprYFz5IRtJZLkXOoNuCR8yIVk5HTWvVpWJsCOppi_KoHdWv-qWoPVc44uO3-S3QA9LWOgnMhqoiw91E92y655AcmkZhgfsD_TOe5OyQDoXwO5gYGQleqUJ7COhuyP-AbRkaJRPivKCFpdSYXhH4cFQdwY4cSk7EXhThHpg3TM-la7Gatvmg9JW6J1zGdQOjPNxh4gtiGbdmmTwj5rcp6VUUHegMGPXOeeto.Vezoh5rRevkVarKJWIwxirXZgeQbOgzY3PWrizmxKm4&amp;dib_tag=se&amp;keywords=M2x6%2BCAP%2BHead%2BScrews%2B(DIN912)&amp;qid=1778589172&amp;sprefix=m2x6%2Bcap%2Bhead%2Bscrews%2Bdin912%2B%2Caps%2C212&amp;sr=8-1-spons&amp;aref=uyKDHhOL9z&amp;sp_csd=d2lkZ2V0TmFtZT1zcF9hdGY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74DEE-CB93-984F-87EA-50D40D5FF57C}">
  <dimension ref="A5:K26"/>
  <sheetViews>
    <sheetView tabSelected="1" zoomScale="143" workbookViewId="0">
      <selection activeCell="N27" sqref="N27"/>
    </sheetView>
  </sheetViews>
  <sheetFormatPr baseColWidth="10" defaultRowHeight="16" x14ac:dyDescent="0.2"/>
  <cols>
    <col min="4" max="4" width="20" customWidth="1"/>
  </cols>
  <sheetData>
    <row r="5" spans="1:11" ht="16" customHeight="1" x14ac:dyDescent="0.2">
      <c r="A5" s="1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6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6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6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6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">
      <c r="A10" s="2" t="s">
        <v>1</v>
      </c>
      <c r="B10" s="2"/>
      <c r="C10" s="2" t="s">
        <v>2</v>
      </c>
      <c r="D10" s="2"/>
      <c r="E10" s="2" t="s">
        <v>10</v>
      </c>
      <c r="F10" s="2"/>
      <c r="G10" s="2" t="s">
        <v>3</v>
      </c>
      <c r="H10" s="2"/>
      <c r="I10" s="3" t="s">
        <v>9</v>
      </c>
      <c r="J10" s="3" t="s">
        <v>4</v>
      </c>
      <c r="K10" s="4" t="s">
        <v>29</v>
      </c>
    </row>
    <row r="11" spans="1:11" x14ac:dyDescent="0.2">
      <c r="A11" s="2">
        <v>1</v>
      </c>
      <c r="B11" s="2"/>
      <c r="C11" s="7" t="s">
        <v>5</v>
      </c>
      <c r="D11" s="7"/>
      <c r="E11" s="2" t="s">
        <v>5</v>
      </c>
      <c r="F11" s="2"/>
      <c r="G11" s="2" t="s">
        <v>20</v>
      </c>
      <c r="H11" s="2"/>
      <c r="I11" s="4">
        <v>1</v>
      </c>
      <c r="J11" s="8">
        <v>0</v>
      </c>
      <c r="K11" s="8">
        <f t="shared" ref="K11:K13" si="0">SUM(J11*I11)</f>
        <v>0</v>
      </c>
    </row>
    <row r="12" spans="1:11" x14ac:dyDescent="0.2">
      <c r="A12" s="2">
        <v>2</v>
      </c>
      <c r="B12" s="2"/>
      <c r="C12" s="7" t="s">
        <v>24</v>
      </c>
      <c r="D12" s="7"/>
      <c r="E12" s="2" t="s">
        <v>6</v>
      </c>
      <c r="F12" s="2"/>
      <c r="G12" s="6" t="s">
        <v>23</v>
      </c>
      <c r="H12" s="2"/>
      <c r="I12" s="4">
        <v>1</v>
      </c>
      <c r="J12" s="8">
        <v>0</v>
      </c>
      <c r="K12" s="8">
        <f t="shared" si="0"/>
        <v>0</v>
      </c>
    </row>
    <row r="13" spans="1:11" x14ac:dyDescent="0.2">
      <c r="A13" s="2">
        <v>3</v>
      </c>
      <c r="B13" s="2"/>
      <c r="C13" s="7" t="s">
        <v>22</v>
      </c>
      <c r="D13" s="7"/>
      <c r="E13" s="2" t="s">
        <v>11</v>
      </c>
      <c r="F13" s="2"/>
      <c r="G13" s="6" t="s">
        <v>21</v>
      </c>
      <c r="H13" s="2"/>
      <c r="I13" s="4">
        <v>3</v>
      </c>
      <c r="J13" s="8">
        <v>9.92</v>
      </c>
      <c r="K13" s="8">
        <f t="shared" si="0"/>
        <v>29.759999999999998</v>
      </c>
    </row>
    <row r="14" spans="1:11" x14ac:dyDescent="0.2">
      <c r="A14" s="2">
        <v>4</v>
      </c>
      <c r="B14" s="2"/>
      <c r="C14" s="7" t="s">
        <v>7</v>
      </c>
      <c r="D14" s="7"/>
      <c r="E14" s="2" t="s">
        <v>7</v>
      </c>
      <c r="F14" s="2"/>
      <c r="G14" s="6" t="s">
        <v>26</v>
      </c>
      <c r="H14" s="2"/>
      <c r="I14" s="4">
        <v>2</v>
      </c>
      <c r="J14" s="8">
        <v>2.7</v>
      </c>
      <c r="K14" s="8">
        <f>SUM(J14*I14)</f>
        <v>5.4</v>
      </c>
    </row>
    <row r="15" spans="1:11" x14ac:dyDescent="0.2">
      <c r="A15" s="2">
        <v>5</v>
      </c>
      <c r="B15" s="2"/>
      <c r="C15" s="7" t="s">
        <v>27</v>
      </c>
      <c r="D15" s="7"/>
      <c r="E15" s="2" t="s">
        <v>8</v>
      </c>
      <c r="F15" s="2"/>
      <c r="G15" s="2" t="s">
        <v>20</v>
      </c>
      <c r="H15" s="2"/>
      <c r="I15" s="4">
        <v>1</v>
      </c>
      <c r="J15" s="8">
        <v>0</v>
      </c>
      <c r="K15" s="8">
        <f t="shared" ref="K15:K25" si="1">SUM(J15*I15)</f>
        <v>0</v>
      </c>
    </row>
    <row r="16" spans="1:11" x14ac:dyDescent="0.2">
      <c r="A16" s="2">
        <v>6</v>
      </c>
      <c r="B16" s="2"/>
      <c r="C16" s="7" t="s">
        <v>12</v>
      </c>
      <c r="D16" s="7"/>
      <c r="E16" s="2" t="s">
        <v>12</v>
      </c>
      <c r="F16" s="2"/>
      <c r="G16" s="6" t="s">
        <v>35</v>
      </c>
      <c r="H16" s="6"/>
      <c r="I16" s="4">
        <v>1</v>
      </c>
      <c r="J16" s="8">
        <v>13.99</v>
      </c>
      <c r="K16" s="8">
        <f t="shared" si="1"/>
        <v>13.99</v>
      </c>
    </row>
    <row r="17" spans="1:11" x14ac:dyDescent="0.2">
      <c r="A17" s="2">
        <v>7</v>
      </c>
      <c r="B17" s="2"/>
      <c r="C17" s="7" t="s">
        <v>13</v>
      </c>
      <c r="D17" s="7"/>
      <c r="E17" s="2" t="s">
        <v>13</v>
      </c>
      <c r="F17" s="2"/>
      <c r="G17" s="6" t="s">
        <v>28</v>
      </c>
      <c r="H17" s="2"/>
      <c r="I17" s="4">
        <v>1</v>
      </c>
      <c r="J17" s="8">
        <v>19.989999999999998</v>
      </c>
      <c r="K17" s="8">
        <f t="shared" si="1"/>
        <v>19.989999999999998</v>
      </c>
    </row>
    <row r="18" spans="1:11" x14ac:dyDescent="0.2">
      <c r="A18" s="2">
        <v>8</v>
      </c>
      <c r="B18" s="2"/>
      <c r="C18" s="7" t="s">
        <v>33</v>
      </c>
      <c r="D18" s="7"/>
      <c r="E18" s="2" t="s">
        <v>14</v>
      </c>
      <c r="F18" s="2"/>
      <c r="G18" s="6" t="s">
        <v>36</v>
      </c>
      <c r="H18" s="6"/>
      <c r="I18" s="4">
        <v>1</v>
      </c>
      <c r="J18" s="8">
        <v>19.989999999999998</v>
      </c>
      <c r="K18" s="8">
        <f t="shared" si="1"/>
        <v>19.989999999999998</v>
      </c>
    </row>
    <row r="19" spans="1:11" x14ac:dyDescent="0.2">
      <c r="A19" s="2">
        <v>9</v>
      </c>
      <c r="B19" s="2"/>
      <c r="C19" s="7" t="s">
        <v>34</v>
      </c>
      <c r="D19" s="7"/>
      <c r="E19" s="2" t="s">
        <v>15</v>
      </c>
      <c r="F19" s="2"/>
      <c r="G19" s="6" t="s">
        <v>40</v>
      </c>
      <c r="H19" s="6"/>
      <c r="I19" s="4">
        <v>1</v>
      </c>
      <c r="J19" s="8">
        <v>5.99</v>
      </c>
      <c r="K19" s="8">
        <f t="shared" si="1"/>
        <v>5.99</v>
      </c>
    </row>
    <row r="20" spans="1:11" x14ac:dyDescent="0.2">
      <c r="A20" s="2">
        <v>10</v>
      </c>
      <c r="B20" s="2"/>
      <c r="C20" s="7" t="s">
        <v>25</v>
      </c>
      <c r="D20" s="7"/>
      <c r="E20" s="2" t="s">
        <v>16</v>
      </c>
      <c r="F20" s="2"/>
      <c r="G20" s="6" t="s">
        <v>41</v>
      </c>
      <c r="H20" s="6"/>
      <c r="I20" s="4">
        <v>1</v>
      </c>
      <c r="J20" s="8">
        <v>6.99</v>
      </c>
      <c r="K20" s="8">
        <f>SUM(J20*I20)</f>
        <v>6.99</v>
      </c>
    </row>
    <row r="21" spans="1:11" x14ac:dyDescent="0.2">
      <c r="A21" s="2">
        <v>11</v>
      </c>
      <c r="B21" s="2"/>
      <c r="C21" s="7" t="s">
        <v>31</v>
      </c>
      <c r="D21" s="7"/>
      <c r="E21" s="2" t="s">
        <v>16</v>
      </c>
      <c r="F21" s="2"/>
      <c r="G21" s="6" t="s">
        <v>42</v>
      </c>
      <c r="H21" s="6"/>
      <c r="I21" s="4">
        <v>1</v>
      </c>
      <c r="J21" s="8">
        <v>6.99</v>
      </c>
      <c r="K21" s="8">
        <f t="shared" si="1"/>
        <v>6.99</v>
      </c>
    </row>
    <row r="22" spans="1:11" x14ac:dyDescent="0.2">
      <c r="A22" s="2">
        <v>12</v>
      </c>
      <c r="B22" s="2"/>
      <c r="C22" s="7" t="s">
        <v>32</v>
      </c>
      <c r="D22" s="7"/>
      <c r="E22" s="2" t="s">
        <v>17</v>
      </c>
      <c r="F22" s="2"/>
      <c r="G22" s="6" t="s">
        <v>43</v>
      </c>
      <c r="H22" s="6"/>
      <c r="I22" s="4">
        <v>1</v>
      </c>
      <c r="J22" s="8">
        <v>4.99</v>
      </c>
      <c r="K22" s="8">
        <f t="shared" si="1"/>
        <v>4.99</v>
      </c>
    </row>
    <row r="23" spans="1:11" x14ac:dyDescent="0.2">
      <c r="A23" s="2">
        <v>13</v>
      </c>
      <c r="B23" s="2"/>
      <c r="C23" s="7" t="s">
        <v>18</v>
      </c>
      <c r="D23" s="7"/>
      <c r="E23" s="2" t="s">
        <v>18</v>
      </c>
      <c r="F23" s="2"/>
      <c r="G23" s="2" t="s">
        <v>20</v>
      </c>
      <c r="H23" s="2"/>
      <c r="I23" s="4">
        <v>1</v>
      </c>
      <c r="J23" s="8">
        <v>0</v>
      </c>
      <c r="K23" s="8">
        <f t="shared" si="1"/>
        <v>0</v>
      </c>
    </row>
    <row r="24" spans="1:11" x14ac:dyDescent="0.2">
      <c r="A24" s="2">
        <v>14</v>
      </c>
      <c r="B24" s="2"/>
      <c r="C24" s="7" t="s">
        <v>19</v>
      </c>
      <c r="D24" s="7"/>
      <c r="E24" s="2" t="s">
        <v>19</v>
      </c>
      <c r="F24" s="2"/>
      <c r="G24" s="2" t="s">
        <v>20</v>
      </c>
      <c r="H24" s="2"/>
      <c r="I24" s="4">
        <v>1</v>
      </c>
      <c r="J24" s="8">
        <v>0</v>
      </c>
      <c r="K24" s="8">
        <f t="shared" si="1"/>
        <v>0</v>
      </c>
    </row>
    <row r="25" spans="1:11" x14ac:dyDescent="0.2">
      <c r="A25" s="2">
        <v>15</v>
      </c>
      <c r="B25" s="2"/>
      <c r="C25" s="2" t="s">
        <v>37</v>
      </c>
      <c r="D25" s="2"/>
      <c r="E25" s="2" t="s">
        <v>38</v>
      </c>
      <c r="F25" s="2"/>
      <c r="G25" s="2" t="s">
        <v>39</v>
      </c>
      <c r="H25" s="2"/>
      <c r="I25" s="4">
        <v>2</v>
      </c>
      <c r="J25" s="8">
        <v>25</v>
      </c>
      <c r="K25" s="8">
        <f t="shared" si="1"/>
        <v>50</v>
      </c>
    </row>
    <row r="26" spans="1:11" x14ac:dyDescent="0.2">
      <c r="I26" s="5" t="s">
        <v>30</v>
      </c>
      <c r="J26" s="5"/>
      <c r="K26" s="9">
        <f>SUM(K11:K25)</f>
        <v>164.08999999999997</v>
      </c>
    </row>
  </sheetData>
  <mergeCells count="66">
    <mergeCell ref="I26:J26"/>
    <mergeCell ref="E23:F23"/>
    <mergeCell ref="E24:F24"/>
    <mergeCell ref="G23:H23"/>
    <mergeCell ref="G24:H24"/>
    <mergeCell ref="A5:K9"/>
    <mergeCell ref="C25:D25"/>
    <mergeCell ref="E25:F25"/>
    <mergeCell ref="G25:H25"/>
    <mergeCell ref="A23:B23"/>
    <mergeCell ref="A24:B24"/>
    <mergeCell ref="C23:D23"/>
    <mergeCell ref="C24:D24"/>
    <mergeCell ref="A25:B25"/>
    <mergeCell ref="E21:F21"/>
    <mergeCell ref="E22:F22"/>
    <mergeCell ref="G19:H19"/>
    <mergeCell ref="G20:H20"/>
    <mergeCell ref="G21:H21"/>
    <mergeCell ref="G22:H22"/>
    <mergeCell ref="A21:B21"/>
    <mergeCell ref="A22:B22"/>
    <mergeCell ref="C19:D19"/>
    <mergeCell ref="C20:D20"/>
    <mergeCell ref="C21:D21"/>
    <mergeCell ref="C22:D22"/>
    <mergeCell ref="G17:H17"/>
    <mergeCell ref="G18:H18"/>
    <mergeCell ref="A19:B19"/>
    <mergeCell ref="A20:B20"/>
    <mergeCell ref="E19:F19"/>
    <mergeCell ref="E20:F20"/>
    <mergeCell ref="E17:F17"/>
    <mergeCell ref="E18:F18"/>
    <mergeCell ref="G10:H10"/>
    <mergeCell ref="G11:H11"/>
    <mergeCell ref="G12:H12"/>
    <mergeCell ref="G13:H13"/>
    <mergeCell ref="G14:H14"/>
    <mergeCell ref="G15:H15"/>
    <mergeCell ref="G16:H16"/>
    <mergeCell ref="C16:D16"/>
    <mergeCell ref="C17:D17"/>
    <mergeCell ref="C18:D18"/>
    <mergeCell ref="E10:F10"/>
    <mergeCell ref="E11:F11"/>
    <mergeCell ref="E12:F12"/>
    <mergeCell ref="E13:F13"/>
    <mergeCell ref="E14:F14"/>
    <mergeCell ref="E15:F15"/>
    <mergeCell ref="E16:F16"/>
    <mergeCell ref="A15:B15"/>
    <mergeCell ref="A16:B16"/>
    <mergeCell ref="A17:B17"/>
    <mergeCell ref="A18:B18"/>
    <mergeCell ref="C10:D10"/>
    <mergeCell ref="C11:D11"/>
    <mergeCell ref="C12:D12"/>
    <mergeCell ref="C13:D13"/>
    <mergeCell ref="C14:D14"/>
    <mergeCell ref="C15:D15"/>
    <mergeCell ref="A10:B10"/>
    <mergeCell ref="A11:B11"/>
    <mergeCell ref="A12:B12"/>
    <mergeCell ref="A13:B13"/>
    <mergeCell ref="A14:B14"/>
  </mergeCells>
  <hyperlinks>
    <hyperlink ref="G13" r:id="rId1" display="https://www.amazon.de/Nastopee-Kameramodul-Kompatibel-Bildklarheit-Spieleprojekt/dp/B0F9FBM1BG/ref=asc_df_B0F9FBM1BG?mcid=b25824a61b683ccabee5dc7fd6f244d0&amp;th=1&amp;tag=googshopde-21&amp;linkCode=df0&amp;hvadid=696220738227&amp;hvpos=&amp;hvnetw=g&amp;hvrand=9019277865092971946&amp;hvpone=&amp;hvptwo=&amp;hvqmt=&amp;hvdev=c&amp;hvdvcmdl=&amp;hvlocint=&amp;hvlocphy=9217322&amp;hvtargid=pla-2507611684717&amp;hvocijid=9019277865092971946-B0F9FBM1BG-&amp;hvexpln=0" xr:uid="{E4A70DC4-B468-F84F-9EB2-549C015B0DE1}"/>
    <hyperlink ref="G12" r:id="rId2" location="hardware-required-" xr:uid="{9B2417A3-9BC7-484D-BB7A-CEE44FBE5B79}"/>
    <hyperlink ref="G14" r:id="rId3" display="https://www.reichelt.de/de/de/shop/produkt/arduino_-_piezo_vibrationssensor-316345?PROVID=2788&amp;gad_source=1&amp;gad_campaignid=18342381572&amp;gbraid=0AAAAADwnxtZFGda61GU4dcQg96YXpbGqL&amp;gclid=CjwKCAjwn4vQBhBsEiwAq3hhNzgDid859aVDIeDN62XvW6XqF_B9mSyO38yVW4SOIP1CiPyZWOsF8xoCzzcQAvD_BwE" xr:uid="{1A356F53-D422-A74A-AF83-BBB1F4185FA6}"/>
    <hyperlink ref="G16:H16" r:id="rId4" display="https://www.amazon.de/ANYPLUS-USB-Datenübertragung-Splitter-Thinkpad-4-1-C-HUB/dp/B0CSSM4C65/ref=sr_1_1_sspa?__mk_de_DE=ÅMÅŽÕÑ&amp;crid=206D2RUJ2U1CX&amp;dib=eyJ2IjoiMSJ9.c0uYDB7Ak1oJrW-YsP8cGtirrZMlWGd-GUmfQtoUIYD7a_H7sePzLyLvZBb86GjeG8Vr46xmDk5f1ZtFPULEaL8JDIYj" xr:uid="{A797E0FF-F31F-8048-8EE5-B4A9BE212AD8}"/>
    <hyperlink ref="G18:H18" r:id="rId5" display="https://www.amazon.de/Gewindeeinsätze-Lötspitzen-Temperatur-Einstellbar-Gewindeeinsatz/dp/B0FF533W7H/ref=sr_1_1_sspa?__mk_de_DE=ÅMÅŽÕÑ&amp;crid=34YC6KO7SLJNQ&amp;dib=eyJ2IjoiMSJ9.HGzSlhnqP70iSOWv-v_sdSiNB8VaO42wDo4qHOQWOAdHIhkJRyS4AuXp6f4Lx9kOIcwKuykOMpgffpiVp65-" xr:uid="{C8273649-6E18-134C-9A12-3E3FAEA89FF6}"/>
    <hyperlink ref="G19:H19" r:id="rId6" display="https://www.amazon.de/XRXYMQ-Linsenkopfschrauben-Flachkopfschrauben-Rundkopfschrauben-Maschinenschrauben/dp/B0DS6BJKNB/ref=sr_1_9?dib=eyJ2IjoiMSJ9.iZIPRdEN_pw1PyuieJIfgCQkKNNXClQafMEOdhvq7WC5J1jqSV-JcFUDhx3VnRpugaT9q57GqXGnLC0qOlDoGtXGIOGB_ntu31wlCOJMQjBw" xr:uid="{A55C59EB-C21A-4349-BFFC-7DE31BAB31D6}"/>
    <hyperlink ref="G20:H20" r:id="rId7" display="https://www.amazon.de/XRXYMQ-Linsenkopfschrauben-Flachkopfschrauben-Rundkopfschrauben-Maschinenschrauben/dp/B0DS6F31TM/ref=sr_1_9?dib=eyJ2IjoiMSJ9.iZIPRdEN_pw1PyuieJIfgCQkKNNXClQafMEOdhvq7WC5J1jqSV-JcFUDhx3VnRpugaT9q57GqXGnLC0qOlDoGtXGIOGB_ntu31wlCOJMQjBw" xr:uid="{B2257DB2-24D1-E641-A5DB-857217875951}"/>
    <hyperlink ref="G21:H21" r:id="rId8" display="https://www.amazon.de/XRXYMQ-Linsenkopfschrauben-Flachkopfschrauben-Rundkopfschrauben-Maschinenschrauben/dp/B0DS6D1TN2/ref=sr_1_9?dib=eyJ2IjoiMSJ9.iZIPRdEN_pw1PyuieJIfgCQkKNNXClQafMEOdhvq7WC5J1jqSV-JcFUDhx3VnRpugaT9q57GqXGnLC0qOlDoGtXGIOGB_ntu31wlCOJMQjBw" xr:uid="{B24EFA93-C8D4-A74D-8454-77A447AE4B72}"/>
    <hyperlink ref="G22:H22" r:id="rId9" display="https://www.amazon.de/Zylinderkopfschrauben-Zylinderschrauben-Innensechskantschlüssel-Kohlenstoffstahl-Befestigungselemente/dp/B0F2HCC3C8/ref=sr_1_1_sspa?__mk_de_DE=ÅMÅŽÕÑ&amp;crid=1CIU97ATOXU95&amp;dib=eyJ2IjoiMSJ9.a47vDq1FvMqPRUQ4xxEG7HA1J17pvy_CFVkRA8eKHxd0c73" xr:uid="{CA5C500A-AB25-8047-9FC3-E517462BAEC6}"/>
    <hyperlink ref="G19" r:id="rId10" xr:uid="{CA71BBC9-7BE2-B747-9D50-721580719725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Marchi</dc:creator>
  <cp:lastModifiedBy>Justin Marchi</cp:lastModifiedBy>
  <dcterms:created xsi:type="dcterms:W3CDTF">2026-05-12T11:45:08Z</dcterms:created>
  <dcterms:modified xsi:type="dcterms:W3CDTF">2026-05-12T13:02:11Z</dcterms:modified>
</cp:coreProperties>
</file>